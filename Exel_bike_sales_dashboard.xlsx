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MIR\Downloads\"/>
    </mc:Choice>
  </mc:AlternateContent>
  <xr:revisionPtr revIDLastSave="0" documentId="8_{6A6C521C-E024-4E94-993C-FFC9ADD87E79}"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sheet" sheetId="3" r:id="rId2"/>
    <sheet name="dashboard" sheetId="2" r:id="rId3"/>
  </sheets>
  <definedNames>
    <definedName name="_xlnm._FilterDatabase" localSheetId="0" hidden="1">bike_buyers!$A$1:$M$1001</definedName>
    <definedName name="_xlnm._FilterDatabase" localSheetId="1" hidden="1">workingsheet!$A$1:$N$1001</definedName>
    <definedName name="Slicer_Education">#N/A</definedName>
    <definedName name="Slicer_Maritalstatus">#N/A</definedName>
    <definedName name="Slicer_Region">#N/A</definedName>
  </definedNames>
  <calcPr calcId="191029"/>
  <extLst>
    <ext xmlns:x14="http://schemas.microsoft.com/office/spreadsheetml/2009/9/main" uri="{876F7934-8845-4945-9796-88D515C7AA90}">
      <x14:pivotCaches>
        <pivotCache cacheId="3"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<sst xmlns="http://schemas.openxmlformats.org/spreadsheetml/2006/main" count="16236" uniqueCount="44">
  <si>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</si>
  <si>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</si>
  <si>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</si>
  <si>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</si>
  <si>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</si>
  <si>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</si>
  <si>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</si>
  <si>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</si>
  <si>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</si>
  <si>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</si>
  <si>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</si>
  <si>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</si>
  <si>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</si>
  <si>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</si>
  <si>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</si>
  <si>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</si>
  <si>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</si>
  <si>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</si>
  <si>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</si>
  <si>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</si>
  <si>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</si>
  <si>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</si>
  <si>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</si>
  <si>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</si>
  <si>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</si>
  <si>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</si>
  <si>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</si>
  <si>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</si>
  <si>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</si>
  <si>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</si>
  <si>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</si>
  <si>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</si>
  <si>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</si>
  <si>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</si>
  <si>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</si>
  <si>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</si>
  <si>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</si>
  <si>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</si>
  <si>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</si>
  <si>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</si>
  <si>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</si>
  <si>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Maritalstatus</t>
  </si>
  <si>
    <t>10 Miles +</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</si>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</sst>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33" borderId="0" xfId="0" applyFill="1"/>
    <xf numFmtId="0" fontId="0" fillId="34" borderId="0" xfId="0" applyFill="1"/>
    <xf numFmtId="0" fontId="19"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avg per purchase</a:t>
            </a:r>
          </a:p>
        </c:rich>
      </c:tx>
      <c:layout>
        <c:manualLayout>
          <c:xMode val="edge"/>
          <c:yMode val="edge"/>
          <c:x val="0.30061374241343353"/>
          <c:y val="2.116453033919734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80935053994923"/>
          <c:y val="0.10437316140851523"/>
          <c:w val="0.65286111111111111"/>
          <c:h val="0.57460265383493725"/>
        </c:manualLayout>
      </c:layout>
      <c:barChart>
        <c:barDir val="col"/>
        <c:grouping val="clustered"/>
        <c:varyColors val="0"/>
        <c:ser>
          <c:idx val="0"/>
          <c:order val="0"/>
          <c:tx>
            <c:v>No</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Female</c:v>
              </c:pt>
              <c:pt idx="1">
                <c:v>Male</c:v>
              </c:pt>
            </c:strLit>
          </c:cat>
          <c:val>
            <c:numLit>
              <c:formatCode>General</c:formatCode>
              <c:ptCount val="2"/>
              <c:pt idx="0">
                <c:v>69444.444444444438</c:v>
              </c:pt>
              <c:pt idx="1">
                <c:v>80000</c:v>
              </c:pt>
            </c:numLit>
          </c:val>
          <c:extLst>
            <c:ext xmlns:c16="http://schemas.microsoft.com/office/drawing/2014/chart" uri="{C3380CC4-5D6E-409C-BE32-E72D297353CC}">
              <c16:uniqueId val="{00000000-6D62-44C3-949D-9CC7BFD990C4}"/>
            </c:ext>
          </c:extLst>
        </c:ser>
        <c:ser>
          <c:idx val="1"/>
          <c:order val="1"/>
          <c:tx>
            <c:v>Yes</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Female</c:v>
              </c:pt>
              <c:pt idx="1">
                <c:v>Male</c:v>
              </c:pt>
            </c:strLit>
          </c:cat>
          <c:val>
            <c:numLit>
              <c:formatCode>General</c:formatCode>
              <c:ptCount val="2"/>
              <c:pt idx="0">
                <c:v>65666.666666666672</c:v>
              </c:pt>
              <c:pt idx="1">
                <c:v>70000</c:v>
              </c:pt>
            </c:numLit>
          </c:val>
          <c:extLst>
            <c:ext xmlns:c16="http://schemas.microsoft.com/office/drawing/2014/chart" uri="{C3380CC4-5D6E-409C-BE32-E72D297353CC}">
              <c16:uniqueId val="{00000001-6D62-44C3-949D-9CC7BFD990C4}"/>
            </c:ext>
          </c:extLst>
        </c:ser>
        <c:dLbls>
          <c:dLblPos val="outEnd"/>
          <c:showLegendKey val="0"/>
          <c:showVal val="1"/>
          <c:showCatName val="0"/>
          <c:showSerName val="0"/>
          <c:showPercent val="0"/>
          <c:showBubbleSize val="0"/>
        </c:dLbls>
        <c:gapWidth val="444"/>
        <c:overlap val="-90"/>
        <c:axId val="393555328"/>
        <c:axId val="393553888"/>
      </c:barChart>
      <c:catAx>
        <c:axId val="393555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layout>
            <c:manualLayout>
              <c:xMode val="edge"/>
              <c:yMode val="edge"/>
              <c:x val="0.37815266841644796"/>
              <c:y val="0.8251640419947506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93553888"/>
        <c:crosses val="autoZero"/>
        <c:auto val="1"/>
        <c:lblAlgn val="ctr"/>
        <c:lblOffset val="100"/>
        <c:noMultiLvlLbl val="0"/>
      </c:catAx>
      <c:valAx>
        <c:axId val="393553888"/>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9355532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Lit>
              <c:ptCount val="5"/>
              <c:pt idx="0">
                <c:v>0-1 Miles</c:v>
              </c:pt>
              <c:pt idx="1">
                <c:v>1-2 Miles</c:v>
              </c:pt>
              <c:pt idx="2">
                <c:v>2-5 Miles</c:v>
              </c:pt>
              <c:pt idx="3">
                <c:v>5-10 Miles</c:v>
              </c:pt>
              <c:pt idx="4">
                <c:v>10 Miles +</c:v>
              </c:pt>
            </c:strLit>
          </c:cat>
          <c:val>
            <c:numLit>
              <c:formatCode>General</c:formatCode>
              <c:ptCount val="5"/>
              <c:pt idx="0">
                <c:v>11</c:v>
              </c:pt>
              <c:pt idx="1">
                <c:v>8</c:v>
              </c:pt>
              <c:pt idx="2">
                <c:v>1</c:v>
              </c:pt>
              <c:pt idx="3">
                <c:v>3</c:v>
              </c:pt>
              <c:pt idx="4">
                <c:v>2</c:v>
              </c:pt>
            </c:numLit>
          </c:val>
          <c:smooth val="0"/>
          <c:extLst>
            <c:ext xmlns:c16="http://schemas.microsoft.com/office/drawing/2014/chart" uri="{C3380CC4-5D6E-409C-BE32-E72D297353CC}">
              <c16:uniqueId val="{00000000-723D-4A89-B341-5C7C23E5D6C8}"/>
            </c:ext>
          </c:extLst>
        </c:ser>
        <c:ser>
          <c:idx val="1"/>
          <c:order val="1"/>
          <c:tx>
            <c:v>Yes</c:v>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Lit>
              <c:ptCount val="5"/>
              <c:pt idx="0">
                <c:v>0-1 Miles</c:v>
              </c:pt>
              <c:pt idx="1">
                <c:v>1-2 Miles</c:v>
              </c:pt>
              <c:pt idx="2">
                <c:v>2-5 Miles</c:v>
              </c:pt>
              <c:pt idx="3">
                <c:v>5-10 Miles</c:v>
              </c:pt>
              <c:pt idx="4">
                <c:v>10 Miles +</c:v>
              </c:pt>
            </c:strLit>
          </c:cat>
          <c:val>
            <c:numLit>
              <c:formatCode>General</c:formatCode>
              <c:ptCount val="5"/>
              <c:pt idx="0">
                <c:v>22</c:v>
              </c:pt>
              <c:pt idx="1">
                <c:v>5</c:v>
              </c:pt>
              <c:pt idx="2">
                <c:v>10</c:v>
              </c:pt>
              <c:pt idx="3">
                <c:v>4</c:v>
              </c:pt>
              <c:pt idx="4">
                <c:v>3</c:v>
              </c:pt>
            </c:numLit>
          </c:val>
          <c:smooth val="0"/>
          <c:extLst>
            <c:ext xmlns:c16="http://schemas.microsoft.com/office/drawing/2014/chart" uri="{C3380CC4-5D6E-409C-BE32-E72D297353CC}">
              <c16:uniqueId val="{00000001-723D-4A89-B341-5C7C23E5D6C8}"/>
            </c:ext>
          </c:extLst>
        </c:ser>
        <c:dLbls>
          <c:showLegendKey val="0"/>
          <c:showVal val="0"/>
          <c:showCatName val="0"/>
          <c:showSerName val="0"/>
          <c:showPercent val="0"/>
          <c:showBubbleSize val="0"/>
        </c:dLbls>
        <c:marker val="1"/>
        <c:smooth val="0"/>
        <c:axId val="575201168"/>
        <c:axId val="575182928"/>
      </c:lineChart>
      <c:catAx>
        <c:axId val="5752011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5182928"/>
        <c:crosses val="autoZero"/>
        <c:auto val="1"/>
        <c:lblAlgn val="ctr"/>
        <c:lblOffset val="100"/>
        <c:noMultiLvlLbl val="0"/>
      </c:catAx>
      <c:valAx>
        <c:axId val="5751829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520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Adolesent</c:v>
              </c:pt>
              <c:pt idx="1">
                <c:v>Middle age</c:v>
              </c:pt>
              <c:pt idx="2">
                <c:v>OLD</c:v>
              </c:pt>
            </c:strLit>
          </c:cat>
          <c:val>
            <c:numLit>
              <c:formatCode>General</c:formatCode>
              <c:ptCount val="3"/>
              <c:pt idx="0">
                <c:v>0</c:v>
              </c:pt>
              <c:pt idx="1">
                <c:v>19</c:v>
              </c:pt>
              <c:pt idx="2">
                <c:v>6</c:v>
              </c:pt>
            </c:numLit>
          </c:val>
          <c:smooth val="0"/>
          <c:extLst>
            <c:ext xmlns:c16="http://schemas.microsoft.com/office/drawing/2014/chart" uri="{C3380CC4-5D6E-409C-BE32-E72D297353CC}">
              <c16:uniqueId val="{00000000-C5AC-486A-BF11-A81F12671BB1}"/>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Adolesent</c:v>
              </c:pt>
              <c:pt idx="1">
                <c:v>Middle age</c:v>
              </c:pt>
              <c:pt idx="2">
                <c:v>OLD</c:v>
              </c:pt>
            </c:strLit>
          </c:cat>
          <c:val>
            <c:numLit>
              <c:formatCode>General</c:formatCode>
              <c:ptCount val="3"/>
              <c:pt idx="0">
                <c:v>1</c:v>
              </c:pt>
              <c:pt idx="1">
                <c:v>39</c:v>
              </c:pt>
              <c:pt idx="2">
                <c:v>4</c:v>
              </c:pt>
            </c:numLit>
          </c:val>
          <c:smooth val="0"/>
          <c:extLst>
            <c:ext xmlns:c16="http://schemas.microsoft.com/office/drawing/2014/chart" uri="{C3380CC4-5D6E-409C-BE32-E72D297353CC}">
              <c16:uniqueId val="{00000001-C5AC-486A-BF11-A81F12671BB1}"/>
            </c:ext>
          </c:extLst>
        </c:ser>
        <c:dLbls>
          <c:showLegendKey val="0"/>
          <c:showVal val="0"/>
          <c:showCatName val="0"/>
          <c:showSerName val="0"/>
          <c:showPercent val="0"/>
          <c:showBubbleSize val="0"/>
        </c:dLbls>
        <c:marker val="1"/>
        <c:smooth val="0"/>
        <c:axId val="1911845103"/>
        <c:axId val="1911843663"/>
      </c:lineChart>
      <c:catAx>
        <c:axId val="191184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4581824146981627"/>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843663"/>
        <c:crosses val="autoZero"/>
        <c:auto val="1"/>
        <c:lblAlgn val="ctr"/>
        <c:lblOffset val="100"/>
        <c:noMultiLvlLbl val="0"/>
      </c:catAx>
      <c:valAx>
        <c:axId val="191184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84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30018</xdr:colOff>
      <xdr:row>5</xdr:row>
      <xdr:rowOff>64194</xdr:rowOff>
    </xdr:from>
    <xdr:to>
      <xdr:col>11</xdr:col>
      <xdr:colOff>532938</xdr:colOff>
      <xdr:row>20</xdr:row>
      <xdr:rowOff>161291</xdr:rowOff>
    </xdr:to>
    <xdr:graphicFrame macro="">
      <xdr:nvGraphicFramePr>
        <xdr:cNvPr id="2" name="Chart 1">
          <a:extLst>
            <a:ext uri="{FF2B5EF4-FFF2-40B4-BE49-F238E27FC236}">
              <a16:creationId xmlns:a16="http://schemas.microsoft.com/office/drawing/2014/main" id="{C628A35D-A5CF-4563-85A5-CF2ADB3F8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172489</xdr:rowOff>
    </xdr:from>
    <xdr:to>
      <xdr:col>19</xdr:col>
      <xdr:colOff>565728</xdr:colOff>
      <xdr:row>40</xdr:row>
      <xdr:rowOff>103909</xdr:rowOff>
    </xdr:to>
    <xdr:graphicFrame macro="">
      <xdr:nvGraphicFramePr>
        <xdr:cNvPr id="3" name="Chart 2">
          <a:extLst>
            <a:ext uri="{FF2B5EF4-FFF2-40B4-BE49-F238E27FC236}">
              <a16:creationId xmlns:a16="http://schemas.microsoft.com/office/drawing/2014/main" id="{6435D3FE-042A-403F-8863-043466F5B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496455</xdr:colOff>
      <xdr:row>5</xdr:row>
      <xdr:rowOff>46183</xdr:rowOff>
    </xdr:from>
    <xdr:to>
      <xdr:col>19</xdr:col>
      <xdr:colOff>542637</xdr:colOff>
      <xdr:row>20</xdr:row>
      <xdr:rowOff>173182</xdr:rowOff>
    </xdr:to>
    <xdr:graphicFrame macro="">
      <xdr:nvGraphicFramePr>
        <xdr:cNvPr id="4" name="Chart 3">
          <a:extLst>
            <a:ext uri="{FF2B5EF4-FFF2-40B4-BE49-F238E27FC236}">
              <a16:creationId xmlns:a16="http://schemas.microsoft.com/office/drawing/2014/main" id="{6E1C6BC2-4578-452C-8B0E-5AECA7229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77356</xdr:rowOff>
    </xdr:from>
    <xdr:to>
      <xdr:col>2</xdr:col>
      <xdr:colOff>604982</xdr:colOff>
      <xdr:row>15</xdr:row>
      <xdr:rowOff>23091</xdr:rowOff>
    </xdr:to>
    <mc:AlternateContent xmlns:mc="http://schemas.openxmlformats.org/markup-compatibility/2006" xmlns:a14="http://schemas.microsoft.com/office/drawing/2010/main">
      <mc:Choice Requires="a14">
        <xdr:graphicFrame macro="">
          <xdr:nvGraphicFramePr>
            <xdr:cNvPr id="5" name="Maritalstatus">
              <a:extLst>
                <a:ext uri="{FF2B5EF4-FFF2-40B4-BE49-F238E27FC236}">
                  <a16:creationId xmlns:a16="http://schemas.microsoft.com/office/drawing/2014/main" id="{FBE19B65-C823-B5C2-38DC-190C8E14DF23}"/>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0" y="1000992"/>
              <a:ext cx="1828800" cy="846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115455</xdr:rowOff>
    </xdr:from>
    <xdr:to>
      <xdr:col>2</xdr:col>
      <xdr:colOff>604982</xdr:colOff>
      <xdr:row>40</xdr:row>
      <xdr:rowOff>34636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92264F0-359F-4585-17EB-F55BCC154CE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918364"/>
              <a:ext cx="1828800" cy="2505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71121</xdr:rowOff>
    </xdr:from>
    <xdr:to>
      <xdr:col>2</xdr:col>
      <xdr:colOff>604982</xdr:colOff>
      <xdr:row>26</xdr:row>
      <xdr:rowOff>115455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F4BC1BB-97B9-D3EA-F4A0-2D21AFF10F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42030"/>
              <a:ext cx="1828800" cy="2076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R" refreshedDate="45781.099023726849" createdVersion="8" refreshedVersion="8" minRefreshableVersion="3" recordCount="1000" xr:uid="{841199BB-9A70-4305-AB5F-0A146ED5128D}">
  <cacheSource type="worksheet">
    <worksheetSource ref="A1:N1001" sheet="workingsheet"/>
  </cacheSource>
  <cacheFields count="14">
    <cacheField name="ID" numFmtId="0">
      <sharedItems containsSemiMixedTypes="0" containsString="0" containsNumber="1" containsInteger="1" minValue="11000" maxValue="29447"/>
    </cacheField>
    <cacheField name="Marital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1167707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7BDA5F84-B808-42CC-8A4E-E2137B1EF38F}" sourceName="Maritalstatus">
  <data>
    <tabular pivotCacheId="116770787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AFB5745-96AD-4747-970A-580373B109C0}" sourceName="Education">
  <data>
    <tabular pivotCacheId="1167707872">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314716-8DBC-4F0A-BEE9-1BE64FAD639D}" sourceName="Region">
  <data>
    <tabular pivotCacheId="11677078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9012DF5B-1BC5-46A2-8A2D-C604F802F081}" cache="Slicer_Maritalstatus" caption="Maritalstatus" rowHeight="234950"/>
  <slicer name="Education" xr10:uid="{B54946BB-9BB4-4374-848E-DBB527222E8A}" cache="Slicer_Education" caption="Education" rowHeight="234950"/>
  <slicer name="Region" xr10:uid="{3D8B17FC-A4D0-43FB-AD23-D1CAA0ED00E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2" zoomScale="80" zoomScaleNormal="80" workbookViewId="0">
      <selection activeCell="E29" sqref="E2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B6C2B-68B0-47E9-B1BA-00E2A80699AD}">
  <dimension ref="A1:N1001"/>
  <sheetViews>
    <sheetView topLeftCell="C1" zoomScale="65" zoomScaleNormal="90" workbookViewId="0">
      <selection activeCell="F31" sqref="F31"/>
    </sheetView>
  </sheetViews>
  <sheetFormatPr defaultColWidth="25.88671875" defaultRowHeight="14.4" x14ac:dyDescent="0.3"/>
  <cols>
    <col min="4" max="4" width="25.88671875" style="3"/>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IF(L2&lt;23,"Young",IF(L2&gt;55,"OLD",IF(L2&gt;=31,"Middle age",IF(L2&lt;31,"Adolesent","invalid"))))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IF(L3&lt;23,"Young",IF(L3&gt;55,"OLD",IF(L3&gt;=31,"Middle age",IF(L3&lt;31,"Adolesent","invalid"))))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42</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42</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Adolesent</v>
      </c>
      <c r="N52" t="s">
        <v>18</v>
      </c>
    </row>
    <row r="53" spans="1:14" x14ac:dyDescent="0.3">
      <c r="A53">
        <v>20619</v>
      </c>
      <c r="B53" t="s">
        <v>37</v>
      </c>
      <c r="C53" t="s">
        <v>38</v>
      </c>
      <c r="D53" s="3">
        <v>80000</v>
      </c>
      <c r="E53">
        <v>0</v>
      </c>
      <c r="F53" t="s">
        <v>13</v>
      </c>
      <c r="G53" t="s">
        <v>21</v>
      </c>
      <c r="H53" t="s">
        <v>18</v>
      </c>
      <c r="I53">
        <v>4</v>
      </c>
      <c r="J53" t="s">
        <v>42</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42</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42</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IF(L67&lt;23,"Young",IF(L67&gt;55,"OLD",IF(L67&gt;=31,"Middle age",IF(L67&lt;31,"Adolesent","invalid"))))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Adolesent</v>
      </c>
      <c r="N71" t="s">
        <v>18</v>
      </c>
    </row>
    <row r="72" spans="1:14" x14ac:dyDescent="0.3">
      <c r="A72">
        <v>14238</v>
      </c>
      <c r="B72" t="s">
        <v>36</v>
      </c>
      <c r="C72" t="s">
        <v>38</v>
      </c>
      <c r="D72" s="3">
        <v>120000</v>
      </c>
      <c r="E72">
        <v>0</v>
      </c>
      <c r="F72" t="s">
        <v>29</v>
      </c>
      <c r="G72" t="s">
        <v>21</v>
      </c>
      <c r="H72" t="s">
        <v>15</v>
      </c>
      <c r="I72">
        <v>4</v>
      </c>
      <c r="J72" t="s">
        <v>42</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Adolesent</v>
      </c>
      <c r="N78" t="s">
        <v>18</v>
      </c>
    </row>
    <row r="79" spans="1:14" x14ac:dyDescent="0.3">
      <c r="A79">
        <v>27969</v>
      </c>
      <c r="B79" t="s">
        <v>36</v>
      </c>
      <c r="C79" t="s">
        <v>38</v>
      </c>
      <c r="D79" s="3">
        <v>80000</v>
      </c>
      <c r="E79">
        <v>0</v>
      </c>
      <c r="F79" t="s">
        <v>13</v>
      </c>
      <c r="G79" t="s">
        <v>21</v>
      </c>
      <c r="H79" t="s">
        <v>15</v>
      </c>
      <c r="I79">
        <v>2</v>
      </c>
      <c r="J79" t="s">
        <v>42</v>
      </c>
      <c r="K79" t="s">
        <v>24</v>
      </c>
      <c r="L79">
        <v>29</v>
      </c>
      <c r="M79" t="str">
        <f t="shared" si="1"/>
        <v>Adolesent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42</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42</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IF(L131&lt;23,"Young",IF(L131&gt;55,"OLD",IF(L131&gt;=31,"Middle age",IF(L131&lt;31,"Adolesent","invalid"))))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42</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42</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42</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42</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42</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42</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42</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42</v>
      </c>
      <c r="K195" t="s">
        <v>24</v>
      </c>
      <c r="L195">
        <v>41</v>
      </c>
      <c r="M195" t="str">
        <f t="shared" ref="M195:M258" si="3">IF(L195&lt;23,"Young",IF(L195&gt;55,"OLD",IF(L195&gt;=31,"Middle age",IF(L195&lt;31,"Adolesent","invalid"))))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42</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42</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Adolesent</v>
      </c>
      <c r="N214" t="s">
        <v>18</v>
      </c>
    </row>
    <row r="215" spans="1:14" x14ac:dyDescent="0.3">
      <c r="A215">
        <v>11451</v>
      </c>
      <c r="B215" t="s">
        <v>37</v>
      </c>
      <c r="C215" t="s">
        <v>38</v>
      </c>
      <c r="D215" s="3">
        <v>70000</v>
      </c>
      <c r="E215">
        <v>0</v>
      </c>
      <c r="F215" t="s">
        <v>13</v>
      </c>
      <c r="G215" t="s">
        <v>21</v>
      </c>
      <c r="H215" t="s">
        <v>18</v>
      </c>
      <c r="I215">
        <v>4</v>
      </c>
      <c r="J215" t="s">
        <v>42</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42</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42</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42</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Adolesent</v>
      </c>
      <c r="N235" t="s">
        <v>15</v>
      </c>
    </row>
    <row r="236" spans="1:14" x14ac:dyDescent="0.3">
      <c r="A236">
        <v>24611</v>
      </c>
      <c r="B236" t="s">
        <v>37</v>
      </c>
      <c r="C236" t="s">
        <v>38</v>
      </c>
      <c r="D236" s="3">
        <v>90000</v>
      </c>
      <c r="E236">
        <v>0</v>
      </c>
      <c r="F236" t="s">
        <v>13</v>
      </c>
      <c r="G236" t="s">
        <v>21</v>
      </c>
      <c r="H236" t="s">
        <v>18</v>
      </c>
      <c r="I236">
        <v>4</v>
      </c>
      <c r="J236" t="s">
        <v>42</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Adolesent</v>
      </c>
      <c r="N245" t="s">
        <v>18</v>
      </c>
    </row>
    <row r="246" spans="1:14" x14ac:dyDescent="0.3">
      <c r="A246">
        <v>19057</v>
      </c>
      <c r="B246" t="s">
        <v>36</v>
      </c>
      <c r="C246" t="s">
        <v>39</v>
      </c>
      <c r="D246" s="3">
        <v>120000</v>
      </c>
      <c r="E246">
        <v>3</v>
      </c>
      <c r="F246" t="s">
        <v>13</v>
      </c>
      <c r="G246" t="s">
        <v>28</v>
      </c>
      <c r="H246" t="s">
        <v>18</v>
      </c>
      <c r="I246">
        <v>2</v>
      </c>
      <c r="J246" t="s">
        <v>42</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42</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42</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IF(L259&lt;23,"Young",IF(L259&gt;55,"OLD",IF(L259&gt;=31,"Middle age",IF(L259&lt;31,"Adolesent","invalid"))))</f>
        <v>Middle age</v>
      </c>
      <c r="N259" t="s">
        <v>15</v>
      </c>
    </row>
    <row r="260" spans="1:14" x14ac:dyDescent="0.3">
      <c r="A260">
        <v>14193</v>
      </c>
      <c r="B260" t="s">
        <v>37</v>
      </c>
      <c r="C260" t="s">
        <v>39</v>
      </c>
      <c r="D260" s="3">
        <v>100000</v>
      </c>
      <c r="E260">
        <v>3</v>
      </c>
      <c r="F260" t="s">
        <v>19</v>
      </c>
      <c r="G260" t="s">
        <v>28</v>
      </c>
      <c r="H260" t="s">
        <v>15</v>
      </c>
      <c r="I260">
        <v>4</v>
      </c>
      <c r="J260" t="s">
        <v>42</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42</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42</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42</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42</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IF(L323&lt;23,"Young",IF(L323&gt;55,"OLD",IF(L323&gt;=31,"Middle age",IF(L323&lt;31,"Adolesent","invalid"))))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42</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42</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42</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42</v>
      </c>
      <c r="K361" t="s">
        <v>24</v>
      </c>
      <c r="L361">
        <v>30</v>
      </c>
      <c r="M361" t="str">
        <f t="shared" si="5"/>
        <v>Adolesent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42</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42</v>
      </c>
      <c r="K382" t="s">
        <v>24</v>
      </c>
      <c r="L382">
        <v>30</v>
      </c>
      <c r="M382" t="str">
        <f t="shared" si="5"/>
        <v>Adolesent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42</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IF(L387&lt;23,"Young",IF(L387&gt;55,"OLD",IF(L387&gt;=31,"Middle age",IF(L387&lt;31,"Adolesent","invalid"))))</f>
        <v>Middle age</v>
      </c>
      <c r="N387" t="s">
        <v>18</v>
      </c>
    </row>
    <row r="388" spans="1:14" x14ac:dyDescent="0.3">
      <c r="A388">
        <v>28957</v>
      </c>
      <c r="B388" t="s">
        <v>37</v>
      </c>
      <c r="C388" t="s">
        <v>39</v>
      </c>
      <c r="D388" s="3">
        <v>120000</v>
      </c>
      <c r="E388">
        <v>0</v>
      </c>
      <c r="F388" t="s">
        <v>29</v>
      </c>
      <c r="G388" t="s">
        <v>21</v>
      </c>
      <c r="H388" t="s">
        <v>15</v>
      </c>
      <c r="I388">
        <v>4</v>
      </c>
      <c r="J388" t="s">
        <v>42</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42</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42</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42</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Adolesent</v>
      </c>
      <c r="N433" t="s">
        <v>15</v>
      </c>
    </row>
    <row r="434" spans="1:14" x14ac:dyDescent="0.3">
      <c r="A434">
        <v>21891</v>
      </c>
      <c r="B434" t="s">
        <v>36</v>
      </c>
      <c r="C434" t="s">
        <v>39</v>
      </c>
      <c r="D434" s="3">
        <v>110000</v>
      </c>
      <c r="E434">
        <v>0</v>
      </c>
      <c r="F434" t="s">
        <v>27</v>
      </c>
      <c r="G434" t="s">
        <v>28</v>
      </c>
      <c r="H434" t="s">
        <v>15</v>
      </c>
      <c r="I434">
        <v>3</v>
      </c>
      <c r="J434" t="s">
        <v>42</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42</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42</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IF(L451&lt;23,"Young",IF(L451&gt;55,"OLD",IF(L451&gt;=31,"Middle age",IF(L451&lt;31,"Adolesent","invalid"))))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42</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42</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42</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42</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42</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42</v>
      </c>
      <c r="K515" t="s">
        <v>32</v>
      </c>
      <c r="L515">
        <v>61</v>
      </c>
      <c r="M515" t="str">
        <f t="shared" ref="M515:M578" si="8">IF(L515&lt;23,"Young",IF(L515&gt;55,"OLD",IF(L515&gt;=31,"Middle age",IF(L515&lt;31,"Adolesent","invalid"))))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42</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42</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Adolesent</v>
      </c>
      <c r="N530" t="s">
        <v>18</v>
      </c>
    </row>
    <row r="531" spans="1:14" x14ac:dyDescent="0.3">
      <c r="A531">
        <v>13233</v>
      </c>
      <c r="B531" t="s">
        <v>36</v>
      </c>
      <c r="C531" t="s">
        <v>38</v>
      </c>
      <c r="D531" s="3">
        <v>60000</v>
      </c>
      <c r="E531">
        <v>2</v>
      </c>
      <c r="F531" t="s">
        <v>19</v>
      </c>
      <c r="G531" t="s">
        <v>21</v>
      </c>
      <c r="H531" t="s">
        <v>15</v>
      </c>
      <c r="I531">
        <v>1</v>
      </c>
      <c r="J531" t="s">
        <v>42</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42</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42</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42</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42</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42</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42</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42</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42</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IF(L579&lt;23,"Young",IF(L579&gt;55,"OLD",IF(L579&gt;=31,"Middle age",IF(L579&lt;31,"Adolesent","invalid"))))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42</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42</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42</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42</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42</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42</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42</v>
      </c>
      <c r="K643" t="s">
        <v>32</v>
      </c>
      <c r="L643">
        <v>64</v>
      </c>
      <c r="M643" t="str">
        <f t="shared" ref="M643:M706" si="10">IF(L643&lt;23,"Young",IF(L643&gt;55,"OLD",IF(L643&gt;=31,"Middle age",IF(L643&lt;31,"Adolesent","invalid"))))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42</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42</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42</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42</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42</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42</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42</v>
      </c>
      <c r="K707" t="s">
        <v>32</v>
      </c>
      <c r="L707">
        <v>59</v>
      </c>
      <c r="M707" t="str">
        <f t="shared" ref="M707:M770" si="11">IF(L707&lt;23,"Young",IF(L707&gt;55,"OLD",IF(L707&gt;=31,"Middle age",IF(L707&lt;31,"Adolesent","invalid"))))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42</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42</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42</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42</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42</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42</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42</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42</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IF(L771&lt;23,"Young",IF(L771&gt;55,"OLD",IF(L771&gt;=31,"Middle age",IF(L771&lt;31,"Adolesent","invalid"))))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42</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42</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42</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42</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IF(L835&lt;23,"Young",IF(L835&gt;55,"OLD",IF(L835&gt;=31,"Middle age",IF(L835&lt;31,"Adolesent","invalid"))))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42</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42</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42</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42</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42</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IF(L899&lt;23,"Young",IF(L899&gt;55,"OLD",IF(L899&gt;=31,"Middle age",IF(L899&lt;31,"Adolesent","invalid"))))</f>
        <v>Adolesent</v>
      </c>
      <c r="N899" t="s">
        <v>18</v>
      </c>
    </row>
    <row r="900" spans="1:14" x14ac:dyDescent="0.3">
      <c r="A900">
        <v>18066</v>
      </c>
      <c r="B900" t="s">
        <v>37</v>
      </c>
      <c r="C900" t="s">
        <v>38</v>
      </c>
      <c r="D900" s="3">
        <v>70000</v>
      </c>
      <c r="E900">
        <v>5</v>
      </c>
      <c r="F900" t="s">
        <v>13</v>
      </c>
      <c r="G900" t="s">
        <v>28</v>
      </c>
      <c r="H900" t="s">
        <v>15</v>
      </c>
      <c r="I900">
        <v>3</v>
      </c>
      <c r="J900" t="s">
        <v>42</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42</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42</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42</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42</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42</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42</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42</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IF(L963&lt;23,"Young",IF(L963&gt;55,"OLD",IF(L963&gt;=31,"Middle age",IF(L963&lt;31,"Adolesent","invalid"))))</f>
        <v>OLD</v>
      </c>
      <c r="N963" t="s">
        <v>18</v>
      </c>
    </row>
    <row r="964" spans="1:14" x14ac:dyDescent="0.3">
      <c r="A964">
        <v>16813</v>
      </c>
      <c r="B964" t="s">
        <v>36</v>
      </c>
      <c r="C964" t="s">
        <v>38</v>
      </c>
      <c r="D964" s="3">
        <v>60000</v>
      </c>
      <c r="E964">
        <v>2</v>
      </c>
      <c r="F964" t="s">
        <v>19</v>
      </c>
      <c r="G964" t="s">
        <v>21</v>
      </c>
      <c r="H964" t="s">
        <v>15</v>
      </c>
      <c r="I964">
        <v>2</v>
      </c>
      <c r="J964" t="s">
        <v>42</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42</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42</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42</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42</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42</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42</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42</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42</v>
      </c>
      <c r="K1001" t="s">
        <v>32</v>
      </c>
      <c r="L1001">
        <v>53</v>
      </c>
      <c r="M1001" t="str">
        <f t="shared" si="15"/>
        <v>Middle age</v>
      </c>
      <c r="N1001" t="s">
        <v>15</v>
      </c>
    </row>
  </sheetData>
  <autoFilter ref="A1:N1001" xr:uid="{F87B6C2B-68B0-47E9-B1BA-00E2A80699A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C5470-FD46-4917-A5D5-A5F89467824C}">
  <dimension ref="A1:AA5"/>
  <sheetViews>
    <sheetView showGridLines="0" tabSelected="1" zoomScale="66" workbookViewId="0">
      <selection activeCell="W9" sqref="W9"/>
    </sheetView>
  </sheetViews>
  <sheetFormatPr defaultRowHeight="14.4" x14ac:dyDescent="0.3"/>
  <sheetData>
    <row r="1" spans="1:27" ht="14.4" customHeight="1" x14ac:dyDescent="0.3">
      <c r="A1" s="6" t="s">
        <v>43</v>
      </c>
      <c r="B1" s="7"/>
      <c r="C1" s="7"/>
      <c r="D1" s="7"/>
      <c r="E1" s="7"/>
      <c r="F1" s="7"/>
      <c r="G1" s="7"/>
      <c r="H1" s="7"/>
      <c r="I1" s="7"/>
      <c r="J1" s="7"/>
      <c r="K1" s="7"/>
      <c r="L1" s="7"/>
      <c r="M1" s="7"/>
      <c r="N1" s="7"/>
      <c r="O1" s="7"/>
      <c r="P1" s="7"/>
      <c r="Q1" s="7"/>
      <c r="R1" s="5"/>
      <c r="S1" s="5"/>
      <c r="T1" s="5"/>
    </row>
    <row r="2" spans="1:27" x14ac:dyDescent="0.3">
      <c r="A2" s="7"/>
      <c r="B2" s="7"/>
      <c r="C2" s="7"/>
      <c r="D2" s="7"/>
      <c r="E2" s="7"/>
      <c r="F2" s="7"/>
      <c r="G2" s="7"/>
      <c r="H2" s="7"/>
      <c r="I2" s="7"/>
      <c r="J2" s="7"/>
      <c r="K2" s="7"/>
      <c r="L2" s="7"/>
      <c r="M2" s="7"/>
      <c r="N2" s="7"/>
      <c r="O2" s="7"/>
      <c r="P2" s="7"/>
      <c r="Q2" s="7"/>
      <c r="R2" s="5"/>
      <c r="S2" s="5"/>
      <c r="T2" s="5"/>
      <c r="U2" s="4"/>
      <c r="V2" s="4"/>
      <c r="W2" s="4"/>
      <c r="X2" s="4"/>
      <c r="Y2" s="4"/>
      <c r="Z2" s="4"/>
      <c r="AA2" s="4"/>
    </row>
    <row r="3" spans="1:27" x14ac:dyDescent="0.3">
      <c r="A3" s="7"/>
      <c r="B3" s="7"/>
      <c r="C3" s="7"/>
      <c r="D3" s="7"/>
      <c r="E3" s="7"/>
      <c r="F3" s="7"/>
      <c r="G3" s="7"/>
      <c r="H3" s="7"/>
      <c r="I3" s="7"/>
      <c r="J3" s="7"/>
      <c r="K3" s="7"/>
      <c r="L3" s="7"/>
      <c r="M3" s="7"/>
      <c r="N3" s="7"/>
      <c r="O3" s="7"/>
      <c r="P3" s="7"/>
      <c r="Q3" s="7"/>
      <c r="R3" s="5"/>
      <c r="S3" s="5"/>
      <c r="T3" s="5"/>
      <c r="U3" s="4"/>
      <c r="V3" s="4"/>
      <c r="W3" s="4"/>
      <c r="X3" s="4"/>
      <c r="Y3" s="4"/>
      <c r="Z3" s="4"/>
      <c r="AA3" s="4"/>
    </row>
    <row r="4" spans="1:27" x14ac:dyDescent="0.3">
      <c r="A4" s="7"/>
      <c r="B4" s="7"/>
      <c r="C4" s="7"/>
      <c r="D4" s="7"/>
      <c r="E4" s="7"/>
      <c r="F4" s="7"/>
      <c r="G4" s="7"/>
      <c r="H4" s="7"/>
      <c r="I4" s="7"/>
      <c r="J4" s="7"/>
      <c r="K4" s="7"/>
      <c r="L4" s="7"/>
      <c r="M4" s="7"/>
      <c r="N4" s="7"/>
      <c r="O4" s="7"/>
      <c r="P4" s="7"/>
      <c r="Q4" s="7"/>
      <c r="R4" s="5"/>
      <c r="S4" s="5"/>
      <c r="T4" s="5"/>
      <c r="U4" s="4"/>
      <c r="V4" s="4"/>
      <c r="W4" s="4"/>
      <c r="X4" s="4"/>
      <c r="Y4" s="4"/>
      <c r="Z4" s="4"/>
      <c r="AA4" s="4"/>
    </row>
    <row r="5" spans="1:27" x14ac:dyDescent="0.3">
      <c r="A5" s="7"/>
      <c r="B5" s="7"/>
      <c r="C5" s="7"/>
      <c r="D5" s="7"/>
      <c r="E5" s="7"/>
      <c r="F5" s="7"/>
      <c r="G5" s="7"/>
      <c r="H5" s="7"/>
      <c r="I5" s="7"/>
      <c r="J5" s="7"/>
      <c r="K5" s="7"/>
      <c r="L5" s="7"/>
      <c r="M5" s="7"/>
      <c r="N5" s="7"/>
      <c r="O5" s="7"/>
      <c r="P5" s="7"/>
      <c r="Q5" s="7"/>
      <c r="R5" s="5"/>
      <c r="S5" s="5"/>
      <c r="T5" s="5"/>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workingsheet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dc:creator>
  <cp:lastModifiedBy>amir AMH</cp:lastModifiedBy>
  <dcterms:created xsi:type="dcterms:W3CDTF">2022-03-18T02:50:57Z</dcterms:created>
  <dcterms:modified xsi:type="dcterms:W3CDTF">2025-11-06T07:59:41Z</dcterms:modified>
</cp:coreProperties>
</file>